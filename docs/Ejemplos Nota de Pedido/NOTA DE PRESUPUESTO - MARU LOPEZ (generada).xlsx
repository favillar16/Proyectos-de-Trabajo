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 de Pedido" sheetId="1" state="visible" r:id="rId1"/>
  </sheets>
  <definedNames>
    <definedName name="_xlnm.Print_Area" localSheetId="0">'Nota de Pedido'!$A$1:$E$36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Gs. &quot;#,##0"/>
  </numFmts>
  <fonts count="9">
    <font>
      <name val="Calibri"/>
      <family val="2"/>
      <color theme="1"/>
      <sz val="11"/>
      <scheme val="minor"/>
    </font>
    <font>
      <b val="1"/>
      <color rgb="00545454"/>
      <sz val="18"/>
    </font>
    <font>
      <color rgb="004D2610"/>
      <sz val="10"/>
    </font>
    <font>
      <b val="1"/>
      <color rgb="004D2610"/>
      <sz val="10"/>
    </font>
    <font>
      <b val="1"/>
      <color rgb="00000000"/>
      <sz val="10.5"/>
    </font>
    <font>
      <sz val="10"/>
    </font>
    <font>
      <b val="1"/>
      <color rgb="004D2610"/>
      <sz val="11"/>
    </font>
    <font>
      <b val="1"/>
      <color rgb="004D2610"/>
      <sz val="12"/>
    </font>
    <font>
      <color rgb="004D2610"/>
      <sz val="9"/>
    </font>
  </fonts>
  <fills count="3">
    <fill>
      <patternFill/>
    </fill>
    <fill>
      <patternFill patternType="gray125"/>
    </fill>
    <fill>
      <patternFill patternType="solid">
        <fgColor rgb="00EBDBC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  <border>
      <left/>
      <right/>
      <top/>
      <bottom style="thin">
        <color rgb="00BFBFBF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2" borderId="4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3" fontId="5" fillId="0" borderId="1" pivotButton="0" quotePrefix="0" xfId="0"/>
    <xf numFmtId="0" fontId="6" fillId="2" borderId="4" applyAlignment="1" pivotButton="0" quotePrefix="0" xfId="0">
      <alignment horizontal="right" vertical="center"/>
    </xf>
    <xf numFmtId="0" fontId="0" fillId="2" borderId="4" pivotButton="0" quotePrefix="0" xfId="0"/>
    <xf numFmtId="166" fontId="7" fillId="2" borderId="4" applyAlignment="1" pivotButton="0" quotePrefix="0" xfId="0">
      <alignment horizontal="right" vertical="center"/>
    </xf>
    <xf numFmtId="0" fontId="3" fillId="2" borderId="0" pivotButton="0" quotePrefix="0" xfId="0"/>
    <xf numFmtId="0" fontId="0" fillId="2" borderId="0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111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2" customWidth="1" min="3" max="3"/>
    <col width="15" customWidth="1" min="4" max="4"/>
    <col width="18" customWidth="1" min="5" max="5"/>
  </cols>
  <sheetData>
    <row r="1" ht="22" customHeight="1"/>
    <row r="2" ht="22" customHeight="1">
      <c r="C2" s="1" t="inlineStr">
        <is>
          <t>NOTA DE PRESUPUESTO</t>
        </is>
      </c>
    </row>
    <row r="3" ht="20" customHeight="1">
      <c r="C3" s="2" t="inlineStr">
        <is>
          <t>N° NP-202608-0001</t>
        </is>
      </c>
    </row>
    <row r="4" ht="20" customHeight="1">
      <c r="D4" s="3" t="inlineStr">
        <is>
          <t>FECHA</t>
        </is>
      </c>
      <c r="E4" s="4" t="n">
        <v>46254</v>
      </c>
    </row>
    <row r="5" ht="16" customHeight="1"/>
    <row r="6">
      <c r="A6" s="5" t="inlineStr">
        <is>
          <t>CLIENTE:</t>
        </is>
      </c>
      <c r="B6" s="6" t="inlineStr">
        <is>
          <t>MARU LÓPEZ</t>
        </is>
      </c>
      <c r="C6" s="7" t="n"/>
      <c r="D6" s="5" t="inlineStr">
        <is>
          <t>TELÉFONO:</t>
        </is>
      </c>
      <c r="E6" s="6" t="inlineStr"/>
    </row>
    <row r="7">
      <c r="A7" s="5" t="inlineStr">
        <is>
          <t>DIRECCIÓN:</t>
        </is>
      </c>
      <c r="B7" s="6" t="inlineStr"/>
      <c r="C7" s="7" t="n"/>
      <c r="D7" s="5" t="inlineStr">
        <is>
          <t>RUC / CI:</t>
        </is>
      </c>
      <c r="E7" s="6" t="inlineStr"/>
    </row>
    <row r="8">
      <c r="A8" s="5" t="inlineStr">
        <is>
          <t>CIUDAD:</t>
        </is>
      </c>
      <c r="B8" s="6" t="inlineStr">
        <is>
          <t>Cnel. Oviedo</t>
        </is>
      </c>
      <c r="C8" s="7" t="n"/>
      <c r="D8" s="5" t="inlineStr">
        <is>
          <t>VENDEDOR:</t>
        </is>
      </c>
      <c r="E8" s="6" t="inlineStr"/>
    </row>
    <row r="10" ht="22" customHeight="1">
      <c r="A10" s="8" t="inlineStr">
        <is>
          <t>CANTIDAD</t>
        </is>
      </c>
      <c r="B10" s="8" t="inlineStr">
        <is>
          <t>UNIDAD</t>
        </is>
      </c>
      <c r="C10" s="8" t="inlineStr">
        <is>
          <t>PRODUCTO</t>
        </is>
      </c>
      <c r="D10" s="8" t="inlineStr">
        <is>
          <t>PRECIO UNIT.</t>
        </is>
      </c>
      <c r="E10" s="8" t="inlineStr">
        <is>
          <t>TOTAL</t>
        </is>
      </c>
    </row>
    <row r="11">
      <c r="A11" s="9" t="n">
        <v>24.99</v>
      </c>
      <c r="B11" s="10" t="inlineStr">
        <is>
          <t>mts2 (17 cajas)</t>
        </is>
      </c>
      <c r="C11" s="11" t="inlineStr">
        <is>
          <t>Porcelanato 120049 Embramaco Ébano</t>
        </is>
      </c>
      <c r="D11" s="12" t="n">
        <v>97500</v>
      </c>
      <c r="E11" s="12">
        <f>IF(A11="","",A11*D11)</f>
        <v/>
      </c>
    </row>
    <row r="12">
      <c r="A12" s="9" t="n">
        <v>35.28</v>
      </c>
      <c r="B12" s="10" t="inlineStr">
        <is>
          <t>mts2 (14 cajas)</t>
        </is>
      </c>
      <c r="C12" s="11" t="inlineStr">
        <is>
          <t>Porcelanato 71220 Embramaco Max Lof Grigio</t>
        </is>
      </c>
      <c r="D12" s="12" t="n">
        <v>70000</v>
      </c>
      <c r="E12" s="12">
        <f>IF(A12="","",A12*D12)</f>
        <v/>
      </c>
    </row>
    <row r="13">
      <c r="A13" s="9" t="n">
        <v>17</v>
      </c>
      <c r="B13" s="10" t="inlineStr"/>
      <c r="C13" s="11" t="inlineStr">
        <is>
          <t>Argamasa 14 en 1 p/ porcelanato</t>
        </is>
      </c>
      <c r="D13" s="12" t="n">
        <v>33000</v>
      </c>
      <c r="E13" s="12">
        <f>IF(A13="","",A13*D13)</f>
        <v/>
      </c>
    </row>
    <row r="14">
      <c r="A14" s="9" t="n">
        <v>15</v>
      </c>
      <c r="B14" s="10" t="inlineStr"/>
      <c r="C14" s="11" t="inlineStr">
        <is>
          <t>Clips nivelador de 2 mm (50 u. x paq.)</t>
        </is>
      </c>
      <c r="D14" s="12" t="n">
        <v>15000</v>
      </c>
      <c r="E14" s="12">
        <f>IF(A14="","",A14*D14)</f>
        <v/>
      </c>
    </row>
    <row r="15">
      <c r="A15" s="9" t="n">
        <v>8</v>
      </c>
      <c r="B15" s="10" t="inlineStr"/>
      <c r="C15" s="11" t="inlineStr">
        <is>
          <t>Cuña p/ nivelamiento (50 u. x paq.)</t>
        </is>
      </c>
      <c r="D15" s="12" t="n">
        <v>35000</v>
      </c>
      <c r="E15" s="12">
        <f>IF(A15="","",A15*D15)</f>
        <v/>
      </c>
    </row>
    <row r="16">
      <c r="A16" s="9" t="n">
        <v>3</v>
      </c>
      <c r="B16" s="10" t="inlineStr"/>
      <c r="C16" s="11" t="inlineStr">
        <is>
          <t>Pastina Klaukol chocolate (1 kg)</t>
        </is>
      </c>
      <c r="D16" s="12" t="n">
        <v>15000</v>
      </c>
      <c r="E16" s="12">
        <f>IF(A16="","",A16*D16)</f>
        <v/>
      </c>
    </row>
    <row r="17">
      <c r="A17" s="9" t="n">
        <v>3</v>
      </c>
      <c r="B17" s="10" t="inlineStr"/>
      <c r="C17" s="11" t="inlineStr">
        <is>
          <t>Pastina Pennsylvania gris claro (1 kg)</t>
        </is>
      </c>
      <c r="D17" s="12" t="n">
        <v>15000</v>
      </c>
      <c r="E17" s="12">
        <f>IF(A17="","",A17*D17)</f>
        <v/>
      </c>
    </row>
    <row r="18">
      <c r="A18" s="9" t="n"/>
      <c r="B18" s="10" t="n"/>
      <c r="C18" s="11" t="n"/>
      <c r="D18" s="12" t="n"/>
      <c r="E18" s="12">
        <f>IF(A18="","",A18*D18)</f>
        <v/>
      </c>
    </row>
    <row r="19">
      <c r="A19" s="9" t="n"/>
      <c r="B19" s="10" t="n"/>
      <c r="C19" s="11" t="n"/>
      <c r="D19" s="12" t="n"/>
      <c r="E19" s="12">
        <f>IF(A19="","",A19*D19)</f>
        <v/>
      </c>
    </row>
    <row r="20">
      <c r="A20" s="9" t="n"/>
      <c r="B20" s="10" t="n"/>
      <c r="C20" s="11" t="n"/>
      <c r="D20" s="12" t="n"/>
      <c r="E20" s="12">
        <f>IF(A20="","",A20*D20)</f>
        <v/>
      </c>
    </row>
    <row r="21">
      <c r="A21" s="9" t="n"/>
      <c r="B21" s="10" t="n"/>
      <c r="C21" s="11" t="n"/>
      <c r="D21" s="12" t="n"/>
      <c r="E21" s="12">
        <f>IF(A21="","",A21*D21)</f>
        <v/>
      </c>
    </row>
    <row r="22">
      <c r="A22" s="9" t="n"/>
      <c r="B22" s="10" t="n"/>
      <c r="C22" s="11" t="n"/>
      <c r="D22" s="12" t="n"/>
      <c r="E22" s="12">
        <f>IF(A22="","",A22*D22)</f>
        <v/>
      </c>
    </row>
    <row r="23">
      <c r="A23" s="9" t="n"/>
      <c r="B23" s="10" t="n"/>
      <c r="C23" s="11" t="n"/>
      <c r="D23" s="12" t="n"/>
      <c r="E23" s="12">
        <f>IF(A23="","",A23*D23)</f>
        <v/>
      </c>
    </row>
    <row r="24">
      <c r="A24" s="9" t="n"/>
      <c r="B24" s="10" t="n"/>
      <c r="C24" s="11" t="n"/>
      <c r="D24" s="12" t="n"/>
      <c r="E24" s="12">
        <f>IF(A24="","",A24*D24)</f>
        <v/>
      </c>
    </row>
    <row r="25">
      <c r="A25" s="9" t="n"/>
      <c r="B25" s="10" t="n"/>
      <c r="C25" s="11" t="n"/>
      <c r="D25" s="12" t="n"/>
      <c r="E25" s="12">
        <f>IF(A25="","",A25*D25)</f>
        <v/>
      </c>
    </row>
    <row r="26">
      <c r="A26" s="9" t="n"/>
      <c r="B26" s="10" t="n"/>
      <c r="C26" s="11" t="n"/>
      <c r="D26" s="12" t="n"/>
      <c r="E26" s="12">
        <f>IF(A26="","",A26*D26)</f>
        <v/>
      </c>
    </row>
    <row r="27">
      <c r="A27" s="9" t="n"/>
      <c r="B27" s="10" t="n"/>
      <c r="C27" s="11" t="n"/>
      <c r="D27" s="12" t="n"/>
      <c r="E27" s="12">
        <f>IF(A27="","",A27*D27)</f>
        <v/>
      </c>
    </row>
    <row r="28">
      <c r="A28" s="9" t="n"/>
      <c r="B28" s="10" t="n"/>
      <c r="C28" s="11" t="n"/>
      <c r="D28" s="12" t="n"/>
      <c r="E28" s="12">
        <f>IF(A28="","",A28*D28)</f>
        <v/>
      </c>
    </row>
    <row r="29">
      <c r="A29" s="9" t="n"/>
      <c r="B29" s="10" t="n"/>
      <c r="C29" s="11" t="n"/>
      <c r="D29" s="12" t="n"/>
      <c r="E29" s="12">
        <f>IF(A29="","",A29*D29)</f>
        <v/>
      </c>
    </row>
    <row r="30">
      <c r="C30" s="13" t="inlineStr">
        <is>
          <t>TOTAL</t>
        </is>
      </c>
      <c r="D30" s="14" t="n"/>
      <c r="E30" s="15">
        <f>SUM(E11:E29)</f>
        <v/>
      </c>
    </row>
    <row r="33">
      <c r="A33" s="16" t="inlineStr">
        <is>
          <t>CONTACTO:</t>
        </is>
      </c>
      <c r="B33" s="17" t="n"/>
      <c r="C33" s="17" t="n"/>
      <c r="D33" s="17" t="n"/>
      <c r="E33" s="17" t="n"/>
    </row>
    <row r="34">
      <c r="A34" s="18" t="inlineStr">
        <is>
          <t>ogapora26@gmail.com</t>
        </is>
      </c>
      <c r="B34" s="17" t="n"/>
      <c r="C34" s="17" t="n"/>
      <c r="D34" s="17" t="n"/>
      <c r="E34" s="17" t="n"/>
    </row>
    <row r="35">
      <c r="A35" s="18" t="inlineStr">
        <is>
          <t>Lida P. Benítez y Dr. Luis M. Argaña, Cnel. Oviedo</t>
        </is>
      </c>
      <c r="B35" s="17" t="n"/>
      <c r="C35" s="17" t="n"/>
      <c r="D35" s="17" t="n"/>
      <c r="E35" s="17" t="n"/>
    </row>
    <row r="36">
      <c r="A36" s="18" t="inlineStr">
        <is>
          <t>+595 975 792195</t>
        </is>
      </c>
      <c r="B36" s="17" t="n"/>
      <c r="C36" s="17" t="n"/>
      <c r="D36" s="17" t="n"/>
      <c r="E36" s="17" t="n"/>
    </row>
  </sheetData>
  <mergeCells count="9">
    <mergeCell ref="C2:E2"/>
    <mergeCell ref="B6:C6"/>
    <mergeCell ref="A34:E34"/>
    <mergeCell ref="A35:E35"/>
    <mergeCell ref="C30:D30"/>
    <mergeCell ref="B7:C7"/>
    <mergeCell ref="C3:E3"/>
    <mergeCell ref="A36:E36"/>
    <mergeCell ref="B8:C8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2026-08-28T14:20:21Z</dcterms:created>
  <dcterms:modified xsi:type="dcterms:W3CDTF">2026-08-28T14:20:21Z</dcterms:modified>
</cp:coreProperties>
</file>